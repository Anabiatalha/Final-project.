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C\Documents\Custom Office Templates\"/>
    </mc:Choice>
  </mc:AlternateContent>
  <xr:revisionPtr revIDLastSave="0" documentId="13_ncr:1_{5A31C6A5-4392-4189-97C8-AE27011A6F04}" xr6:coauthVersionLast="36" xr6:coauthVersionMax="36" xr10:uidLastSave="{00000000-0000-0000-0000-000000000000}"/>
  <bookViews>
    <workbookView xWindow="0" yWindow="0" windowWidth="17256" windowHeight="5640" xr2:uid="{9B097891-6C20-4260-BA1C-8DD572309C3E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  <c r="H3" i="1"/>
  <c r="L3" i="1" s="1"/>
  <c r="H4" i="1"/>
  <c r="L4" i="1" s="1"/>
  <c r="H5" i="1"/>
  <c r="L5" i="1" s="1"/>
  <c r="H6" i="1"/>
  <c r="L6" i="1" s="1"/>
  <c r="H7" i="1"/>
  <c r="L7" i="1" s="1"/>
  <c r="H8" i="1"/>
  <c r="L8" i="1" s="1"/>
  <c r="H9" i="1"/>
  <c r="L9" i="1" s="1"/>
  <c r="H10" i="1"/>
  <c r="L10" i="1" s="1"/>
  <c r="H11" i="1"/>
  <c r="L11" i="1" s="1"/>
  <c r="H12" i="1"/>
  <c r="L12" i="1" s="1"/>
  <c r="H13" i="1"/>
  <c r="L13" i="1" s="1"/>
  <c r="H14" i="1"/>
  <c r="L14" i="1" s="1"/>
  <c r="H15" i="1"/>
  <c r="L15" i="1" s="1"/>
  <c r="H16" i="1"/>
  <c r="L16" i="1" s="1"/>
  <c r="H17" i="1"/>
  <c r="L17" i="1" s="1"/>
  <c r="H18" i="1"/>
  <c r="L18" i="1" s="1"/>
  <c r="H19" i="1"/>
  <c r="L19" i="1" s="1"/>
  <c r="H20" i="1"/>
  <c r="L20" i="1" s="1"/>
  <c r="H2" i="1"/>
  <c r="L2" i="1" s="1"/>
</calcChain>
</file>

<file path=xl/sharedStrings.xml><?xml version="1.0" encoding="utf-8"?>
<sst xmlns="http://schemas.openxmlformats.org/spreadsheetml/2006/main" count="40" uniqueCount="27">
  <si>
    <t xml:space="preserve"> Shehram</t>
  </si>
  <si>
    <t xml:space="preserve"> Student name</t>
  </si>
  <si>
    <t xml:space="preserve"> Ali</t>
  </si>
  <si>
    <t xml:space="preserve"> Abdullah</t>
  </si>
  <si>
    <t xml:space="preserve"> Waleed</t>
  </si>
  <si>
    <t xml:space="preserve"> Waqar</t>
  </si>
  <si>
    <t xml:space="preserve"> Prame</t>
  </si>
  <si>
    <t xml:space="preserve"> Sohum</t>
  </si>
  <si>
    <t xml:space="preserve"> Abubakhar</t>
  </si>
  <si>
    <t xml:space="preserve"> Ali raza</t>
  </si>
  <si>
    <t xml:space="preserve"> Shahzaib</t>
  </si>
  <si>
    <t xml:space="preserve"> Nasir</t>
  </si>
  <si>
    <t xml:space="preserve"> Arbaz</t>
  </si>
  <si>
    <t xml:space="preserve"> Arman</t>
  </si>
  <si>
    <t xml:space="preserve"> Eng</t>
  </si>
  <si>
    <t xml:space="preserve"> Urdu</t>
  </si>
  <si>
    <t xml:space="preserve"> Isl</t>
  </si>
  <si>
    <t xml:space="preserve"> Math</t>
  </si>
  <si>
    <t xml:space="preserve"> Sci</t>
  </si>
  <si>
    <t xml:space="preserve"> Total</t>
  </si>
  <si>
    <t xml:space="preserve"> Obtain</t>
  </si>
  <si>
    <t xml:space="preserve"> Average</t>
  </si>
  <si>
    <t xml:space="preserve"> Max</t>
  </si>
  <si>
    <t xml:space="preserve"> Min</t>
  </si>
  <si>
    <t xml:space="preserve"> If condition</t>
  </si>
  <si>
    <t xml:space="preserve"> 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</si>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</sst>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SC" refreshedDate="45997.508163541665" createdVersion="6" refreshedVersion="6" minRefreshableVersion="3" recordCount="19" xr:uid="{0118DE1A-DC90-4087-B3E4-38B43205E47D}">
  <cacheSource type="worksheet">
    <worksheetSource name="Table1"/>
  </cacheSource>
  <cacheFields count="12">
    <cacheField name=" Student name" numFmtId="0">
      <sharedItems count="13">
        <s v=" Shehram"/>
        <s v=" Ali"/>
        <s v=" Abdullah"/>
        <s v=" Waleed"/>
        <s v=" Waqar"/>
        <s v=" Prame"/>
        <s v=" Sohum"/>
        <s v=" Abubakhar"/>
        <s v=" Ali raza"/>
        <s v=" Shahzaib"/>
        <s v=" Nasir"/>
        <s v=" Arbaz"/>
        <s v=" Arman"/>
      </sharedItems>
    </cacheField>
    <cacheField name=" Eng" numFmtId="0">
      <sharedItems containsSemiMixedTypes="0" containsString="0" containsNumber="1" containsInteger="1" minValue="0" maxValue="49" count="16">
        <n v="45"/>
        <n v="35"/>
        <n v="47"/>
        <n v="29"/>
        <n v="37"/>
        <n v="10"/>
        <n v="0"/>
        <n v="7"/>
        <n v="19"/>
        <n v="18"/>
        <n v="49"/>
        <n v="41"/>
        <n v="27"/>
        <n v="28"/>
        <n v="31"/>
        <n v="30"/>
      </sharedItems>
    </cacheField>
    <cacheField name=" Urdu" numFmtId="0">
      <sharedItems containsSemiMixedTypes="0" containsString="0" containsNumber="1" containsInteger="1" minValue="0" maxValue="49"/>
    </cacheField>
    <cacheField name=" Isl" numFmtId="0">
      <sharedItems containsSemiMixedTypes="0" containsString="0" containsNumber="1" containsInteger="1" minValue="0" maxValue="45"/>
    </cacheField>
    <cacheField name=" Math" numFmtId="0">
      <sharedItems containsSemiMixedTypes="0" containsString="0" containsNumber="1" containsInteger="1" minValue="0" maxValue="45"/>
    </cacheField>
    <cacheField name=" Sci" numFmtId="0">
      <sharedItems containsSemiMixedTypes="0" containsString="0" containsNumber="1" containsInteger="1" minValue="0" maxValue="34"/>
    </cacheField>
    <cacheField name=" Total" numFmtId="0">
      <sharedItems containsSemiMixedTypes="0" containsString="0" containsNumber="1" containsInteger="1" minValue="250" maxValue="250"/>
    </cacheField>
    <cacheField name=" Obtain" numFmtId="0">
      <sharedItems containsSemiMixedTypes="0" containsString="0" containsNumber="1" containsInteger="1" minValue="51" maxValue="180" count="19">
        <n v="156"/>
        <n v="153"/>
        <n v="159"/>
        <n v="136"/>
        <n v="180"/>
        <n v="88"/>
        <n v="111"/>
        <n v="51"/>
        <n v="72"/>
        <n v="80"/>
        <n v="84"/>
        <n v="162"/>
        <n v="146"/>
        <n v="134"/>
        <n v="147"/>
        <n v="144"/>
        <n v="108"/>
        <n v="169"/>
        <n v="143"/>
      </sharedItems>
    </cacheField>
    <cacheField name=" Average" numFmtId="0">
      <sharedItems containsSemiMixedTypes="0" containsString="0" containsNumber="1" minValue="10.199999999999999" maxValue="36" count="19">
        <n v="31.2"/>
        <n v="30.6"/>
        <n v="31.8"/>
        <n v="27.2"/>
        <n v="36"/>
        <n v="17.600000000000001"/>
        <n v="22.2"/>
        <n v="10.199999999999999"/>
        <n v="14.4"/>
        <n v="16"/>
        <n v="16.8"/>
        <n v="32.4"/>
        <n v="29.2"/>
        <n v="26.8"/>
        <n v="29.4"/>
        <n v="28.8"/>
        <n v="21.6"/>
        <n v="33.799999999999997"/>
        <n v="28.6"/>
      </sharedItems>
    </cacheField>
    <cacheField name=" Max" numFmtId="0">
      <sharedItems containsSemiMixedTypes="0" containsString="0" containsNumber="1" containsInteger="1" minValue="19" maxValue="49" count="9">
        <n v="45"/>
        <n v="37"/>
        <n v="47"/>
        <n v="19"/>
        <n v="34"/>
        <n v="24"/>
        <n v="49"/>
        <n v="41"/>
        <n v="28"/>
      </sharedItems>
    </cacheField>
    <cacheField name=" Min" numFmtId="0">
      <sharedItems containsSemiMixedTypes="0" containsString="0" containsNumber="1" containsInteger="1" minValue="0" maxValue="17"/>
    </cacheField>
    <cacheField name=" If condition" numFmtId="0">
      <sharedItems count="2">
        <s v="Pass"/>
        <s v="F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n v="45"/>
    <n v="28"/>
    <n v="28"/>
    <n v="10"/>
    <n v="250"/>
    <x v="0"/>
    <x v="0"/>
    <x v="0"/>
    <n v="10"/>
    <x v="0"/>
  </r>
  <r>
    <x v="1"/>
    <x v="1"/>
    <n v="35"/>
    <n v="37"/>
    <n v="37"/>
    <n v="9"/>
    <n v="250"/>
    <x v="1"/>
    <x v="1"/>
    <x v="1"/>
    <n v="9"/>
    <x v="0"/>
  </r>
  <r>
    <x v="2"/>
    <x v="2"/>
    <n v="47"/>
    <n v="29"/>
    <n v="29"/>
    <n v="7"/>
    <n v="250"/>
    <x v="2"/>
    <x v="2"/>
    <x v="2"/>
    <n v="7"/>
    <x v="0"/>
  </r>
  <r>
    <x v="3"/>
    <x v="3"/>
    <n v="29"/>
    <n v="37"/>
    <n v="37"/>
    <n v="4"/>
    <n v="250"/>
    <x v="3"/>
    <x v="3"/>
    <x v="1"/>
    <n v="4"/>
    <x v="1"/>
  </r>
  <r>
    <x v="4"/>
    <x v="0"/>
    <n v="45"/>
    <n v="37"/>
    <n v="37"/>
    <n v="16"/>
    <n v="250"/>
    <x v="4"/>
    <x v="4"/>
    <x v="0"/>
    <n v="16"/>
    <x v="0"/>
  </r>
  <r>
    <x v="5"/>
    <x v="4"/>
    <n v="37"/>
    <n v="0"/>
    <n v="0"/>
    <n v="14"/>
    <n v="250"/>
    <x v="5"/>
    <x v="5"/>
    <x v="1"/>
    <n v="0"/>
    <x v="1"/>
  </r>
  <r>
    <x v="6"/>
    <x v="5"/>
    <n v="10"/>
    <n v="37"/>
    <n v="37"/>
    <n v="17"/>
    <n v="250"/>
    <x v="6"/>
    <x v="6"/>
    <x v="1"/>
    <n v="10"/>
    <x v="1"/>
  </r>
  <r>
    <x v="7"/>
    <x v="6"/>
    <n v="0"/>
    <n v="16"/>
    <n v="16"/>
    <n v="19"/>
    <n v="250"/>
    <x v="7"/>
    <x v="7"/>
    <x v="3"/>
    <n v="0"/>
    <x v="1"/>
  </r>
  <r>
    <x v="8"/>
    <x v="7"/>
    <n v="7"/>
    <n v="12"/>
    <n v="12"/>
    <n v="34"/>
    <n v="250"/>
    <x v="8"/>
    <x v="8"/>
    <x v="4"/>
    <n v="7"/>
    <x v="1"/>
  </r>
  <r>
    <x v="9"/>
    <x v="8"/>
    <n v="19"/>
    <n v="16"/>
    <n v="16"/>
    <n v="10"/>
    <n v="250"/>
    <x v="9"/>
    <x v="9"/>
    <x v="3"/>
    <n v="10"/>
    <x v="1"/>
  </r>
  <r>
    <x v="10"/>
    <x v="9"/>
    <n v="18"/>
    <n v="24"/>
    <n v="24"/>
    <n v="0"/>
    <n v="250"/>
    <x v="10"/>
    <x v="10"/>
    <x v="5"/>
    <n v="0"/>
    <x v="1"/>
  </r>
  <r>
    <x v="11"/>
    <x v="4"/>
    <n v="37"/>
    <n v="37"/>
    <n v="37"/>
    <n v="14"/>
    <n v="250"/>
    <x v="11"/>
    <x v="11"/>
    <x v="1"/>
    <n v="14"/>
    <x v="0"/>
  </r>
  <r>
    <x v="12"/>
    <x v="10"/>
    <n v="49"/>
    <n v="19"/>
    <n v="19"/>
    <n v="10"/>
    <n v="250"/>
    <x v="12"/>
    <x v="12"/>
    <x v="6"/>
    <n v="10"/>
    <x v="1"/>
  </r>
  <r>
    <x v="0"/>
    <x v="11"/>
    <n v="41"/>
    <n v="19"/>
    <n v="19"/>
    <n v="14"/>
    <n v="250"/>
    <x v="13"/>
    <x v="13"/>
    <x v="7"/>
    <n v="14"/>
    <x v="1"/>
  </r>
  <r>
    <x v="1"/>
    <x v="12"/>
    <n v="27"/>
    <n v="45"/>
    <n v="45"/>
    <n v="3"/>
    <n v="250"/>
    <x v="14"/>
    <x v="14"/>
    <x v="0"/>
    <n v="3"/>
    <x v="1"/>
  </r>
  <r>
    <x v="2"/>
    <x v="4"/>
    <n v="37"/>
    <n v="34"/>
    <n v="34"/>
    <n v="2"/>
    <n v="250"/>
    <x v="15"/>
    <x v="15"/>
    <x v="1"/>
    <n v="2"/>
    <x v="1"/>
  </r>
  <r>
    <x v="3"/>
    <x v="13"/>
    <n v="28"/>
    <n v="19"/>
    <n v="19"/>
    <n v="14"/>
    <n v="250"/>
    <x v="16"/>
    <x v="16"/>
    <x v="8"/>
    <n v="14"/>
    <x v="1"/>
  </r>
  <r>
    <x v="6"/>
    <x v="14"/>
    <n v="31"/>
    <n v="45"/>
    <n v="45"/>
    <n v="17"/>
    <n v="250"/>
    <x v="17"/>
    <x v="17"/>
    <x v="0"/>
    <n v="17"/>
    <x v="0"/>
  </r>
  <r>
    <x v="5"/>
    <x v="15"/>
    <n v="30"/>
    <n v="34"/>
    <n v="34"/>
    <n v="15"/>
    <n v="250"/>
    <x v="18"/>
    <x v="18"/>
    <x v="4"/>
    <n v="1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8CD962-C004-424D-A5D6-1C07DEFBC47B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8" firstHeaderRow="0" firstDataRow="0" firstDataCol="0" rowPageCount="6" colPageCount="1"/>
  <pivotFields count="12">
    <pivotField axis="axisPage" showAll="0">
      <items count="14">
        <item x="2"/>
        <item x="7"/>
        <item x="1"/>
        <item x="8"/>
        <item x="11"/>
        <item x="12"/>
        <item x="10"/>
        <item x="5"/>
        <item x="9"/>
        <item x="0"/>
        <item x="6"/>
        <item x="3"/>
        <item x="4"/>
        <item t="default"/>
      </items>
    </pivotField>
    <pivotField axis="axisPage" showAll="0">
      <items count="17">
        <item x="6"/>
        <item x="7"/>
        <item x="5"/>
        <item x="9"/>
        <item x="8"/>
        <item x="12"/>
        <item x="13"/>
        <item x="3"/>
        <item x="15"/>
        <item x="14"/>
        <item x="1"/>
        <item x="4"/>
        <item x="11"/>
        <item x="0"/>
        <item x="2"/>
        <item x="10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20">
        <item x="7"/>
        <item x="8"/>
        <item x="9"/>
        <item x="10"/>
        <item x="5"/>
        <item x="16"/>
        <item x="6"/>
        <item x="13"/>
        <item x="3"/>
        <item x="18"/>
        <item x="15"/>
        <item x="12"/>
        <item x="14"/>
        <item x="1"/>
        <item x="0"/>
        <item x="2"/>
        <item x="11"/>
        <item x="17"/>
        <item x="4"/>
        <item t="default"/>
      </items>
    </pivotField>
    <pivotField axis="axisPage" showAll="0">
      <items count="20">
        <item x="7"/>
        <item x="8"/>
        <item x="9"/>
        <item x="10"/>
        <item x="5"/>
        <item x="16"/>
        <item x="6"/>
        <item x="13"/>
        <item x="3"/>
        <item x="18"/>
        <item x="15"/>
        <item x="12"/>
        <item x="14"/>
        <item x="1"/>
        <item x="0"/>
        <item x="2"/>
        <item x="11"/>
        <item x="17"/>
        <item x="4"/>
        <item t="default"/>
      </items>
    </pivotField>
    <pivotField axis="axisPage" showAll="0">
      <items count="10">
        <item x="3"/>
        <item x="5"/>
        <item x="8"/>
        <item x="4"/>
        <item x="1"/>
        <item x="7"/>
        <item x="0"/>
        <item x="2"/>
        <item x="6"/>
        <item t="default"/>
      </items>
    </pivotField>
    <pivotField showAll="0"/>
    <pivotField axis="axisPage" showAll="0">
      <items count="3">
        <item x="1"/>
        <item x="0"/>
        <item t="default"/>
      </items>
    </pivotField>
  </pivotFields>
  <pageFields count="6">
    <pageField fld="0" item="0" hier="-1"/>
    <pageField fld="8" item="17" hier="-1"/>
    <pageField fld="7" item="18" hier="-1"/>
    <pageField fld="11" item="1" hier="-1"/>
    <pageField fld="1" item="15" hier="-1"/>
    <pageField fld="9" item="8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05987-A54A-432C-B289-53024D3B978F}" name="Table1" displayName="Table1" ref="A1:L20" totalsRowShown="0">
  <autoFilter ref="A1:L20" xr:uid="{7C3CF1E3-CDAB-432D-9B32-63D41CAF53B3}"/>
  <tableColumns count="12">
    <tableColumn id="1" xr3:uid="{90D426B6-92D3-4126-8D39-B54BB47ABB97}" name=" Student name"/>
    <tableColumn id="2" xr3:uid="{7E220D1B-9F4D-4117-9103-42ACB2941F1A}" name=" Eng"/>
    <tableColumn id="3" xr3:uid="{7775A429-124D-468D-937E-359E8374A8B3}" name=" Urdu"/>
    <tableColumn id="4" xr3:uid="{3F1E1DEE-2079-45F8-83D5-39CC8064B164}" name=" Isl"/>
    <tableColumn id="5" xr3:uid="{B6F662A0-8088-4AFE-823B-2994D75A5B1A}" name=" Math"/>
    <tableColumn id="6" xr3:uid="{99BC36D7-052B-411C-A07F-7A298FEC480B}" name=" Sci"/>
    <tableColumn id="7" xr3:uid="{D8F5B4AD-352D-480C-85E4-1E3D11D2A306}" name=" Total"/>
    <tableColumn id="8" xr3:uid="{9A1B3E41-6278-4783-9F20-DB17E4C84E9D}" name=" Obtain">
      <calculatedColumnFormula>SUM(B2:F2)</calculatedColumnFormula>
    </tableColumn>
    <tableColumn id="9" xr3:uid="{EE84F9A5-72AA-44F4-97E1-BEFEF067530E}" name=" Average">
      <calculatedColumnFormula>AVERAGE(B2:F2)</calculatedColumnFormula>
    </tableColumn>
    <tableColumn id="10" xr3:uid="{06000780-2BD8-4B73-ADA7-6E37D91479FE}" name=" Max">
      <calculatedColumnFormula>MAX(B2:F2)</calculatedColumnFormula>
    </tableColumn>
    <tableColumn id="11" xr3:uid="{F92796B7-4E58-41BD-A353-F0806E1299FB}" name=" Min">
      <calculatedColumnFormula>MIN(B2:F2)</calculatedColumnFormula>
    </tableColumn>
    <tableColumn id="12" xr3:uid="{5FC7CDB7-63BE-4740-A876-882ED3A97BBD}" name=" If condition">
      <calculatedColumnFormula>IF(H2&gt;150,"Pass","Fale")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AE749-B88C-41FB-8A58-8505F820D305}">
  <dimension ref="A1:B6"/>
  <sheetViews>
    <sheetView tabSelected="1" workbookViewId="0">
      <selection activeCell="B1" sqref="B1"/>
    </sheetView>
  </sheetViews>
  <sheetFormatPr defaultRowHeight="14.4" x14ac:dyDescent="0.3"/>
  <cols>
    <col min="1" max="1" width="12.6640625" bestFit="1" customWidth="1"/>
    <col min="2" max="2" width="10.6640625" bestFit="1" customWidth="1"/>
  </cols>
  <sheetData>
    <row r="1" spans="1:2" x14ac:dyDescent="0.3">
      <c r="A1" s="1" t="s">
        <v>1</v>
      </c>
      <c r="B1" t="s">
        <v>3</v>
      </c>
    </row>
    <row r="2" spans="1:2" x14ac:dyDescent="0.3">
      <c r="A2" s="1" t="s">
        <v>21</v>
      </c>
      <c r="B2" s="2">
        <v>33.799999999999997</v>
      </c>
    </row>
    <row r="3" spans="1:2" x14ac:dyDescent="0.3">
      <c r="A3" s="1" t="s">
        <v>20</v>
      </c>
      <c r="B3" s="2">
        <v>180</v>
      </c>
    </row>
    <row r="4" spans="1:2" x14ac:dyDescent="0.3">
      <c r="A4" s="1" t="s">
        <v>24</v>
      </c>
      <c r="B4" t="s">
        <v>26</v>
      </c>
    </row>
    <row r="5" spans="1:2" x14ac:dyDescent="0.3">
      <c r="A5" s="1" t="s">
        <v>14</v>
      </c>
      <c r="B5" s="2">
        <v>49</v>
      </c>
    </row>
    <row r="6" spans="1:2" x14ac:dyDescent="0.3">
      <c r="A6" s="1" t="s">
        <v>22</v>
      </c>
      <c r="B6" s="2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B8978-C974-454A-856C-1B5AFA670E92}">
  <dimension ref="A1:N20"/>
  <sheetViews>
    <sheetView workbookViewId="0">
      <selection activeCell="O10" sqref="O10"/>
    </sheetView>
  </sheetViews>
  <sheetFormatPr defaultRowHeight="14.4" x14ac:dyDescent="0.3"/>
  <cols>
    <col min="1" max="1" width="17.44140625" customWidth="1"/>
    <col min="8" max="8" width="9" customWidth="1"/>
    <col min="9" max="9" width="10.21875" customWidth="1"/>
    <col min="12" max="12" width="13" customWidth="1"/>
  </cols>
  <sheetData>
    <row r="1" spans="1:14" x14ac:dyDescent="0.3">
      <c r="A1" t="s">
        <v>1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</row>
    <row r="2" spans="1:14" x14ac:dyDescent="0.3">
      <c r="A2" t="s">
        <v>0</v>
      </c>
      <c r="B2">
        <v>45</v>
      </c>
      <c r="C2">
        <v>45</v>
      </c>
      <c r="D2">
        <v>28</v>
      </c>
      <c r="E2">
        <v>28</v>
      </c>
      <c r="F2">
        <v>10</v>
      </c>
      <c r="G2">
        <v>250</v>
      </c>
      <c r="H2">
        <f>SUM(B2:F2)</f>
        <v>156</v>
      </c>
      <c r="I2">
        <f>AVERAGE(B2:F2)</f>
        <v>31.2</v>
      </c>
      <c r="J2">
        <f>MAX(B2:F2)</f>
        <v>45</v>
      </c>
      <c r="K2">
        <f>MIN(B2:F2)</f>
        <v>10</v>
      </c>
      <c r="L2" t="str">
        <f>IF(H2&gt;150,"Pass","Fale")</f>
        <v>Pass</v>
      </c>
    </row>
    <row r="3" spans="1:14" x14ac:dyDescent="0.3">
      <c r="A3" t="s">
        <v>2</v>
      </c>
      <c r="B3">
        <v>35</v>
      </c>
      <c r="C3">
        <v>35</v>
      </c>
      <c r="D3">
        <v>37</v>
      </c>
      <c r="E3">
        <v>37</v>
      </c>
      <c r="F3">
        <v>9</v>
      </c>
      <c r="G3">
        <v>250</v>
      </c>
      <c r="H3">
        <f t="shared" ref="H3:H20" si="0">SUM(B3:F3)</f>
        <v>153</v>
      </c>
      <c r="I3">
        <f t="shared" ref="I3:I20" si="1">AVERAGE(B3:F3)</f>
        <v>30.6</v>
      </c>
      <c r="J3">
        <f t="shared" ref="J3:J20" si="2">MAX(B3:F3)</f>
        <v>37</v>
      </c>
      <c r="K3">
        <f t="shared" ref="K3:K20" si="3">MIN(B3:F3)</f>
        <v>9</v>
      </c>
      <c r="L3" t="str">
        <f t="shared" ref="L3:L4" si="4">IF(H3&gt;150,"Pass","Fale")</f>
        <v>Pass</v>
      </c>
    </row>
    <row r="4" spans="1:14" x14ac:dyDescent="0.3">
      <c r="A4" t="s">
        <v>3</v>
      </c>
      <c r="B4">
        <v>47</v>
      </c>
      <c r="C4">
        <v>47</v>
      </c>
      <c r="D4">
        <v>29</v>
      </c>
      <c r="E4">
        <v>29</v>
      </c>
      <c r="F4">
        <v>7</v>
      </c>
      <c r="G4">
        <v>250</v>
      </c>
      <c r="H4">
        <f t="shared" si="0"/>
        <v>159</v>
      </c>
      <c r="I4">
        <f t="shared" si="1"/>
        <v>31.8</v>
      </c>
      <c r="J4">
        <f t="shared" si="2"/>
        <v>47</v>
      </c>
      <c r="K4">
        <f t="shared" si="3"/>
        <v>7</v>
      </c>
      <c r="L4" t="str">
        <f t="shared" si="4"/>
        <v>Pass</v>
      </c>
    </row>
    <row r="5" spans="1:14" x14ac:dyDescent="0.3">
      <c r="A5" t="s">
        <v>4</v>
      </c>
      <c r="B5">
        <v>29</v>
      </c>
      <c r="C5">
        <v>29</v>
      </c>
      <c r="D5">
        <v>37</v>
      </c>
      <c r="E5">
        <v>37</v>
      </c>
      <c r="F5">
        <v>4</v>
      </c>
      <c r="G5">
        <v>250</v>
      </c>
      <c r="H5">
        <f t="shared" si="0"/>
        <v>136</v>
      </c>
      <c r="I5">
        <f t="shared" si="1"/>
        <v>27.2</v>
      </c>
      <c r="J5">
        <f t="shared" si="2"/>
        <v>37</v>
      </c>
      <c r="K5">
        <f t="shared" si="3"/>
        <v>4</v>
      </c>
      <c r="L5" t="str">
        <f>IF(H5&gt;150,"Pass","Fale")</f>
        <v>Fale</v>
      </c>
    </row>
    <row r="6" spans="1:14" x14ac:dyDescent="0.3">
      <c r="A6" t="s">
        <v>5</v>
      </c>
      <c r="B6">
        <v>45</v>
      </c>
      <c r="C6">
        <v>45</v>
      </c>
      <c r="D6">
        <v>37</v>
      </c>
      <c r="E6">
        <v>37</v>
      </c>
      <c r="F6">
        <v>16</v>
      </c>
      <c r="G6">
        <v>250</v>
      </c>
      <c r="H6">
        <f t="shared" si="0"/>
        <v>180</v>
      </c>
      <c r="I6">
        <f t="shared" si="1"/>
        <v>36</v>
      </c>
      <c r="J6">
        <f t="shared" si="2"/>
        <v>45</v>
      </c>
      <c r="K6">
        <f t="shared" si="3"/>
        <v>16</v>
      </c>
      <c r="L6" t="str">
        <f t="shared" ref="L6:L20" si="5">IF(H6&gt;150,"Pass","Fale")</f>
        <v>Pass</v>
      </c>
    </row>
    <row r="7" spans="1:14" x14ac:dyDescent="0.3">
      <c r="A7" t="s">
        <v>6</v>
      </c>
      <c r="B7">
        <v>37</v>
      </c>
      <c r="C7">
        <v>37</v>
      </c>
      <c r="D7">
        <v>0</v>
      </c>
      <c r="E7">
        <v>0</v>
      </c>
      <c r="F7">
        <v>14</v>
      </c>
      <c r="G7">
        <v>250</v>
      </c>
      <c r="H7">
        <f t="shared" si="0"/>
        <v>88</v>
      </c>
      <c r="I7">
        <f t="shared" si="1"/>
        <v>17.600000000000001</v>
      </c>
      <c r="J7">
        <f t="shared" si="2"/>
        <v>37</v>
      </c>
      <c r="K7">
        <f t="shared" si="3"/>
        <v>0</v>
      </c>
      <c r="L7" t="str">
        <f t="shared" si="5"/>
        <v>Fale</v>
      </c>
      <c r="N7" t="s">
        <v>25</v>
      </c>
    </row>
    <row r="8" spans="1:14" x14ac:dyDescent="0.3">
      <c r="A8" t="s">
        <v>7</v>
      </c>
      <c r="B8">
        <v>10</v>
      </c>
      <c r="C8">
        <v>10</v>
      </c>
      <c r="D8">
        <v>37</v>
      </c>
      <c r="E8">
        <v>37</v>
      </c>
      <c r="F8">
        <v>17</v>
      </c>
      <c r="G8">
        <v>250</v>
      </c>
      <c r="H8">
        <f t="shared" si="0"/>
        <v>111</v>
      </c>
      <c r="I8">
        <f t="shared" si="1"/>
        <v>22.2</v>
      </c>
      <c r="J8">
        <f t="shared" si="2"/>
        <v>37</v>
      </c>
      <c r="K8">
        <f t="shared" si="3"/>
        <v>10</v>
      </c>
      <c r="L8" t="str">
        <f t="shared" si="5"/>
        <v>Fale</v>
      </c>
    </row>
    <row r="9" spans="1:14" x14ac:dyDescent="0.3">
      <c r="A9" t="s">
        <v>8</v>
      </c>
      <c r="B9">
        <v>0</v>
      </c>
      <c r="C9">
        <v>0</v>
      </c>
      <c r="D9">
        <v>16</v>
      </c>
      <c r="E9">
        <v>16</v>
      </c>
      <c r="F9">
        <v>19</v>
      </c>
      <c r="G9">
        <v>250</v>
      </c>
      <c r="H9">
        <f t="shared" si="0"/>
        <v>51</v>
      </c>
      <c r="I9">
        <f t="shared" si="1"/>
        <v>10.199999999999999</v>
      </c>
      <c r="J9">
        <f t="shared" si="2"/>
        <v>19</v>
      </c>
      <c r="K9">
        <f t="shared" si="3"/>
        <v>0</v>
      </c>
      <c r="L9" t="str">
        <f t="shared" si="5"/>
        <v>Fale</v>
      </c>
    </row>
    <row r="10" spans="1:14" x14ac:dyDescent="0.3">
      <c r="A10" t="s">
        <v>9</v>
      </c>
      <c r="B10">
        <v>7</v>
      </c>
      <c r="C10">
        <v>7</v>
      </c>
      <c r="D10">
        <v>12</v>
      </c>
      <c r="E10">
        <v>12</v>
      </c>
      <c r="F10">
        <v>34</v>
      </c>
      <c r="G10">
        <v>250</v>
      </c>
      <c r="H10">
        <f t="shared" si="0"/>
        <v>72</v>
      </c>
      <c r="I10">
        <f t="shared" si="1"/>
        <v>14.4</v>
      </c>
      <c r="J10">
        <f t="shared" si="2"/>
        <v>34</v>
      </c>
      <c r="K10">
        <f t="shared" si="3"/>
        <v>7</v>
      </c>
      <c r="L10" t="str">
        <f t="shared" si="5"/>
        <v>Fale</v>
      </c>
    </row>
    <row r="11" spans="1:14" x14ac:dyDescent="0.3">
      <c r="A11" t="s">
        <v>10</v>
      </c>
      <c r="B11">
        <v>19</v>
      </c>
      <c r="C11">
        <v>19</v>
      </c>
      <c r="D11">
        <v>16</v>
      </c>
      <c r="E11">
        <v>16</v>
      </c>
      <c r="F11">
        <v>10</v>
      </c>
      <c r="G11">
        <v>250</v>
      </c>
      <c r="H11">
        <f t="shared" si="0"/>
        <v>80</v>
      </c>
      <c r="I11">
        <f t="shared" si="1"/>
        <v>16</v>
      </c>
      <c r="J11">
        <f t="shared" si="2"/>
        <v>19</v>
      </c>
      <c r="K11">
        <f t="shared" si="3"/>
        <v>10</v>
      </c>
      <c r="L11" t="str">
        <f t="shared" si="5"/>
        <v>Fale</v>
      </c>
    </row>
    <row r="12" spans="1:14" x14ac:dyDescent="0.3">
      <c r="A12" t="s">
        <v>11</v>
      </c>
      <c r="B12">
        <v>18</v>
      </c>
      <c r="C12">
        <v>18</v>
      </c>
      <c r="D12">
        <v>24</v>
      </c>
      <c r="E12">
        <v>24</v>
      </c>
      <c r="F12">
        <v>0</v>
      </c>
      <c r="G12">
        <v>250</v>
      </c>
      <c r="H12">
        <f t="shared" si="0"/>
        <v>84</v>
      </c>
      <c r="I12">
        <f t="shared" si="1"/>
        <v>16.8</v>
      </c>
      <c r="J12">
        <f t="shared" si="2"/>
        <v>24</v>
      </c>
      <c r="K12">
        <f t="shared" si="3"/>
        <v>0</v>
      </c>
      <c r="L12" t="str">
        <f t="shared" si="5"/>
        <v>Fale</v>
      </c>
    </row>
    <row r="13" spans="1:14" x14ac:dyDescent="0.3">
      <c r="A13" t="s">
        <v>12</v>
      </c>
      <c r="B13">
        <v>37</v>
      </c>
      <c r="C13">
        <v>37</v>
      </c>
      <c r="D13">
        <v>37</v>
      </c>
      <c r="E13">
        <v>37</v>
      </c>
      <c r="F13">
        <v>14</v>
      </c>
      <c r="G13">
        <v>250</v>
      </c>
      <c r="H13">
        <f t="shared" si="0"/>
        <v>162</v>
      </c>
      <c r="I13">
        <f t="shared" si="1"/>
        <v>32.4</v>
      </c>
      <c r="J13">
        <f t="shared" si="2"/>
        <v>37</v>
      </c>
      <c r="K13">
        <f t="shared" si="3"/>
        <v>14</v>
      </c>
      <c r="L13" t="str">
        <f t="shared" si="5"/>
        <v>Pass</v>
      </c>
    </row>
    <row r="14" spans="1:14" x14ac:dyDescent="0.3">
      <c r="A14" t="s">
        <v>13</v>
      </c>
      <c r="B14">
        <v>49</v>
      </c>
      <c r="C14">
        <v>49</v>
      </c>
      <c r="D14">
        <v>19</v>
      </c>
      <c r="E14">
        <v>19</v>
      </c>
      <c r="F14">
        <v>10</v>
      </c>
      <c r="G14">
        <v>250</v>
      </c>
      <c r="H14">
        <f t="shared" si="0"/>
        <v>146</v>
      </c>
      <c r="I14">
        <f t="shared" si="1"/>
        <v>29.2</v>
      </c>
      <c r="J14">
        <f t="shared" si="2"/>
        <v>49</v>
      </c>
      <c r="K14">
        <f t="shared" si="3"/>
        <v>10</v>
      </c>
      <c r="L14" t="str">
        <f t="shared" si="5"/>
        <v>Fale</v>
      </c>
    </row>
    <row r="15" spans="1:14" x14ac:dyDescent="0.3">
      <c r="A15" t="s">
        <v>0</v>
      </c>
      <c r="B15">
        <v>41</v>
      </c>
      <c r="C15">
        <v>41</v>
      </c>
      <c r="D15">
        <v>19</v>
      </c>
      <c r="E15">
        <v>19</v>
      </c>
      <c r="F15">
        <v>14</v>
      </c>
      <c r="G15">
        <v>250</v>
      </c>
      <c r="H15">
        <f t="shared" si="0"/>
        <v>134</v>
      </c>
      <c r="I15">
        <f t="shared" si="1"/>
        <v>26.8</v>
      </c>
      <c r="J15">
        <f t="shared" si="2"/>
        <v>41</v>
      </c>
      <c r="K15">
        <f t="shared" si="3"/>
        <v>14</v>
      </c>
      <c r="L15" t="str">
        <f t="shared" si="5"/>
        <v>Fale</v>
      </c>
    </row>
    <row r="16" spans="1:14" x14ac:dyDescent="0.3">
      <c r="A16" t="s">
        <v>2</v>
      </c>
      <c r="B16">
        <v>27</v>
      </c>
      <c r="C16">
        <v>27</v>
      </c>
      <c r="D16">
        <v>45</v>
      </c>
      <c r="E16">
        <v>45</v>
      </c>
      <c r="F16">
        <v>3</v>
      </c>
      <c r="G16">
        <v>250</v>
      </c>
      <c r="H16">
        <f t="shared" si="0"/>
        <v>147</v>
      </c>
      <c r="I16">
        <f t="shared" si="1"/>
        <v>29.4</v>
      </c>
      <c r="J16">
        <f t="shared" si="2"/>
        <v>45</v>
      </c>
      <c r="K16">
        <f t="shared" si="3"/>
        <v>3</v>
      </c>
      <c r="L16" t="str">
        <f t="shared" si="5"/>
        <v>Fale</v>
      </c>
    </row>
    <row r="17" spans="1:12" x14ac:dyDescent="0.3">
      <c r="A17" t="s">
        <v>3</v>
      </c>
      <c r="B17">
        <v>37</v>
      </c>
      <c r="C17">
        <v>37</v>
      </c>
      <c r="D17">
        <v>34</v>
      </c>
      <c r="E17">
        <v>34</v>
      </c>
      <c r="F17">
        <v>2</v>
      </c>
      <c r="G17">
        <v>250</v>
      </c>
      <c r="H17">
        <f t="shared" si="0"/>
        <v>144</v>
      </c>
      <c r="I17">
        <f t="shared" si="1"/>
        <v>28.8</v>
      </c>
      <c r="J17">
        <f t="shared" si="2"/>
        <v>37</v>
      </c>
      <c r="K17">
        <f t="shared" si="3"/>
        <v>2</v>
      </c>
      <c r="L17" t="str">
        <f t="shared" si="5"/>
        <v>Fale</v>
      </c>
    </row>
    <row r="18" spans="1:12" x14ac:dyDescent="0.3">
      <c r="A18" t="s">
        <v>4</v>
      </c>
      <c r="B18">
        <v>28</v>
      </c>
      <c r="C18">
        <v>28</v>
      </c>
      <c r="D18">
        <v>19</v>
      </c>
      <c r="E18">
        <v>19</v>
      </c>
      <c r="F18">
        <v>14</v>
      </c>
      <c r="G18">
        <v>250</v>
      </c>
      <c r="H18">
        <f t="shared" si="0"/>
        <v>108</v>
      </c>
      <c r="I18">
        <f t="shared" si="1"/>
        <v>21.6</v>
      </c>
      <c r="J18">
        <f t="shared" si="2"/>
        <v>28</v>
      </c>
      <c r="K18">
        <f t="shared" si="3"/>
        <v>14</v>
      </c>
      <c r="L18" t="str">
        <f t="shared" si="5"/>
        <v>Fale</v>
      </c>
    </row>
    <row r="19" spans="1:12" x14ac:dyDescent="0.3">
      <c r="A19" t="s">
        <v>7</v>
      </c>
      <c r="B19">
        <v>31</v>
      </c>
      <c r="C19">
        <v>31</v>
      </c>
      <c r="D19">
        <v>45</v>
      </c>
      <c r="E19">
        <v>45</v>
      </c>
      <c r="F19">
        <v>17</v>
      </c>
      <c r="G19">
        <v>250</v>
      </c>
      <c r="H19">
        <f t="shared" si="0"/>
        <v>169</v>
      </c>
      <c r="I19">
        <f t="shared" si="1"/>
        <v>33.799999999999997</v>
      </c>
      <c r="J19">
        <f t="shared" si="2"/>
        <v>45</v>
      </c>
      <c r="K19">
        <f t="shared" si="3"/>
        <v>17</v>
      </c>
      <c r="L19" t="str">
        <f t="shared" si="5"/>
        <v>Pass</v>
      </c>
    </row>
    <row r="20" spans="1:12" x14ac:dyDescent="0.3">
      <c r="A20" t="s">
        <v>6</v>
      </c>
      <c r="B20">
        <v>30</v>
      </c>
      <c r="C20">
        <v>30</v>
      </c>
      <c r="D20">
        <v>34</v>
      </c>
      <c r="E20">
        <v>34</v>
      </c>
      <c r="F20">
        <v>15</v>
      </c>
      <c r="G20">
        <v>250</v>
      </c>
      <c r="H20">
        <f t="shared" si="0"/>
        <v>143</v>
      </c>
      <c r="I20">
        <f t="shared" si="1"/>
        <v>28.6</v>
      </c>
      <c r="J20">
        <f t="shared" si="2"/>
        <v>34</v>
      </c>
      <c r="K20">
        <f t="shared" si="3"/>
        <v>15</v>
      </c>
      <c r="L20" t="str">
        <f t="shared" si="5"/>
        <v>Fale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</dc:creator>
  <cp:lastModifiedBy>SSC</cp:lastModifiedBy>
  <dcterms:created xsi:type="dcterms:W3CDTF">2025-12-06T06:28:18Z</dcterms:created>
  <dcterms:modified xsi:type="dcterms:W3CDTF">2025-12-11T15:39:29Z</dcterms:modified>
</cp:coreProperties>
</file>